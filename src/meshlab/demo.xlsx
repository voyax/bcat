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<sst xmlns="http://schemas.openxmlformats.org/spreadsheetml/2006/main" count="104" uniqueCount="46">
  <si>
    <t>云量几何婴儿头型矫正</t>
  </si>
  <si>
    <t>编号</t>
  </si>
  <si>
    <t>姓名</t>
  </si>
  <si>
    <t>生日</t>
  </si>
  <si>
    <t>报告日期</t>
  </si>
  <si>
    <t>疗程</t>
  </si>
  <si>
    <t>备注</t>
  </si>
  <si>
    <t>Level(3) Measurements</t>
  </si>
  <si>
    <t>Circumference</t>
  </si>
  <si>
    <t>头围</t>
  </si>
  <si>
    <t>(mm)</t>
  </si>
  <si>
    <t>Cranial Breadth (M-L)</t>
  </si>
  <si>
    <t>颅宽</t>
  </si>
  <si>
    <t>Cranial Length (A-P)</t>
  </si>
  <si>
    <t>颅长</t>
  </si>
  <si>
    <t>Cephalic Ratio (M-L/A-P)</t>
  </si>
  <si>
    <t>颅骨比例</t>
  </si>
  <si>
    <t>Radial Symmetry Index (RSI)</t>
  </si>
  <si>
    <t>放射对称指数</t>
  </si>
  <si>
    <t>Oblique-Diagonal 1 at -30 degree (D1)</t>
  </si>
  <si>
    <t>对角线1 -30度</t>
  </si>
  <si>
    <t>Oblique-Diagonal 2 at 30 degree (D2)</t>
  </si>
  <si>
    <t>对角线2 30度</t>
  </si>
  <si>
    <t>Cranial Vault Asymmetry Index (CVAI)</t>
  </si>
  <si>
    <t>颅顶不对称指数</t>
  </si>
  <si>
    <t>%</t>
  </si>
  <si>
    <t>Level(5) Measurements</t>
  </si>
  <si>
    <t>Level(8) Measurements</t>
  </si>
  <si>
    <t>Volumes(Level 2 to Level 8)</t>
  </si>
  <si>
    <t>Q1 Volume (A/L)</t>
  </si>
  <si>
    <t>颅脑容积第一象限</t>
  </si>
  <si>
    <t>(cc)</t>
  </si>
  <si>
    <t>Q2 Volume (A/R)</t>
  </si>
  <si>
    <t>颅脑容积第二象限</t>
  </si>
  <si>
    <t>Q3 Volume (P/R)</t>
  </si>
  <si>
    <t>颅脑容积第三象限</t>
  </si>
  <si>
    <t>Q4 Volume (P/L)</t>
  </si>
  <si>
    <t>颅脑容积第四象限</t>
  </si>
  <si>
    <t>Anterior Symmetry Ratio (ASR)</t>
  </si>
  <si>
    <t>前颅对称指数</t>
  </si>
  <si>
    <t>Posterior Symmetry Ratio (PSR)</t>
  </si>
  <si>
    <t>后颅对称指数</t>
  </si>
  <si>
    <t>Overall Symmetry Ratio</t>
  </si>
  <si>
    <t>总对称指数</t>
  </si>
  <si>
    <t>Anterior-Posterior Volume Ratio</t>
  </si>
  <si>
    <t>颅脑容积前后比例</t>
  </si>
</sst>
</file>

<file path=xl/styles.xml><?xml version="1.0" encoding="utf-8"?>
<styleSheet xmlns="http://schemas.openxmlformats.org/spreadsheetml/2006/main">
  <numFmts count="3">
    <numFmt numFmtId="164" formatCode="0.0"/>
    <numFmt numFmtId="165" formatCode="yy/mm/dd"/>
    <numFmt numFmtId="166" formatCode="0.000"/>
  </numFmts>
  <fonts count="4">
    <font>
      <sz val="11"/>
      <color theme="1"/>
      <name val="Calibri"/>
      <family val="2"/>
      <scheme val="minor"/>
    </font>
    <font>
      <b/>
      <sz val="30"/>
      <color rgb="FFFFFFFF"/>
      <name val="calibri"/>
      <family val="2"/>
    </font>
    <font>
      <sz val="10"/>
      <color theme="1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33C99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/>
    <xf numFmtId="0" fontId="3" fillId="2" borderId="0" xfId="0" applyFont="1" applyFill="1"/>
    <xf numFmtId="0" fontId="0" fillId="3" borderId="0" xfId="0" applyFill="1"/>
    <xf numFmtId="166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7620</xdr:rowOff>
    </xdr:from>
    <xdr:to>
      <xdr:col>5</xdr:col>
      <xdr:colOff>142060</xdr:colOff>
      <xdr:row>6</xdr:row>
      <xdr:rowOff>67560</xdr:rowOff>
    </xdr:to>
    <xdr:pic>
      <xdr:nvPicPr>
        <xdr:cNvPr id="2" name="Picture 1" descr="image plan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6450" y="636270"/>
          <a:ext cx="1189810" cy="10124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7620</xdr:rowOff>
    </xdr:from>
    <xdr:to>
      <xdr:col>9</xdr:col>
      <xdr:colOff>26010</xdr:colOff>
      <xdr:row>15</xdr:row>
      <xdr:rowOff>162120</xdr:rowOff>
    </xdr:to>
    <xdr:pic>
      <xdr:nvPicPr>
        <xdr:cNvPr id="3" name="Picture 2" descr="image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2900" y="1969770"/>
          <a:ext cx="1473810" cy="148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7620</xdr:rowOff>
    </xdr:from>
    <xdr:to>
      <xdr:col>9</xdr:col>
      <xdr:colOff>26010</xdr:colOff>
      <xdr:row>24</xdr:row>
      <xdr:rowOff>162120</xdr:rowOff>
    </xdr:to>
    <xdr:pic>
      <xdr:nvPicPr>
        <xdr:cNvPr id="4" name="Picture 3" descr="image5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52900" y="3684270"/>
          <a:ext cx="1473810" cy="148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7620</xdr:rowOff>
    </xdr:from>
    <xdr:to>
      <xdr:col>9</xdr:col>
      <xdr:colOff>26010</xdr:colOff>
      <xdr:row>33</xdr:row>
      <xdr:rowOff>162120</xdr:rowOff>
    </xdr:to>
    <xdr:pic>
      <xdr:nvPicPr>
        <xdr:cNvPr id="5" name="Picture 4" descr="image8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52900" y="5398770"/>
          <a:ext cx="1473810" cy="148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7620</xdr:rowOff>
    </xdr:from>
    <xdr:to>
      <xdr:col>9</xdr:col>
      <xdr:colOff>12200</xdr:colOff>
      <xdr:row>42</xdr:row>
      <xdr:rowOff>186120</xdr:rowOff>
    </xdr:to>
    <xdr:pic>
      <xdr:nvPicPr>
        <xdr:cNvPr id="6" name="Picture 5" descr="image spli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52900" y="7113270"/>
          <a:ext cx="1460000" cy="15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cols>
    <col min="1" max="9" width="7.7109375" customWidth="1"/>
    <col min="2" max="2" width="15.7109375" customWidth="1"/>
    <col min="4" max="4" width="0" customWidth="1"/>
    <col min="5" max="5" width="15.7109375" customWidth="1"/>
    <col min="8" max="9" width="10.85546875" customWidth="1"/>
  </cols>
  <sheetData>
    <row r="1" spans="1:9" ht="5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</row>
    <row r="3" spans="1:9">
      <c r="A3" s="2" t="s">
        <v>2</v>
      </c>
    </row>
    <row r="4" spans="1:9">
      <c r="A4" s="2" t="s">
        <v>3</v>
      </c>
    </row>
    <row r="5" spans="1:9">
      <c r="A5" s="2" t="s">
        <v>4</v>
      </c>
      <c r="B5" s="3">
        <f> NOW()</f>
        <v>0</v>
      </c>
    </row>
    <row r="6" spans="1:9">
      <c r="A6" s="2" t="s">
        <v>5</v>
      </c>
    </row>
    <row r="7" spans="1:9">
      <c r="A7" s="2" t="s">
        <v>6</v>
      </c>
    </row>
    <row r="8" spans="1:9">
      <c r="A8" s="4" t="s">
        <v>7</v>
      </c>
      <c r="B8" s="4"/>
      <c r="C8" s="4"/>
      <c r="D8" s="4"/>
      <c r="E8" s="4"/>
      <c r="F8" s="4"/>
      <c r="G8" s="4">
        <f> CONCATENATE(CEILING((NOW()-B4)/7,1),"周")</f>
        <v>0</v>
      </c>
      <c r="H8" s="5"/>
      <c r="I8" s="5"/>
    </row>
    <row r="9" spans="1:9">
      <c r="A9" s="2" t="s">
        <v>8</v>
      </c>
      <c r="E9" s="2" t="s">
        <v>9</v>
      </c>
      <c r="F9" s="2" t="s">
        <v>10</v>
      </c>
      <c r="G9" s="2">
        <v>381.011</v>
      </c>
    </row>
    <row r="10" spans="1:9">
      <c r="A10" s="2" t="s">
        <v>11</v>
      </c>
      <c r="E10" s="2" t="s">
        <v>12</v>
      </c>
      <c r="F10" s="2" t="s">
        <v>10</v>
      </c>
      <c r="G10" s="2">
        <v>109.209</v>
      </c>
    </row>
    <row r="11" spans="1:9">
      <c r="A11" s="2" t="s">
        <v>13</v>
      </c>
      <c r="E11" s="2" t="s">
        <v>14</v>
      </c>
      <c r="F11" s="2" t="s">
        <v>10</v>
      </c>
      <c r="G11" s="2">
        <v>129.532</v>
      </c>
    </row>
    <row r="12" spans="1:9">
      <c r="A12" s="2" t="s">
        <v>15</v>
      </c>
      <c r="E12" s="2" t="s">
        <v>16</v>
      </c>
      <c r="G12" s="6">
        <v>0.843102</v>
      </c>
    </row>
    <row r="13" spans="1:9">
      <c r="A13" s="2" t="s">
        <v>17</v>
      </c>
      <c r="E13" s="2" t="s">
        <v>18</v>
      </c>
      <c r="F13" s="2" t="s">
        <v>10</v>
      </c>
      <c r="G13" s="2">
        <v>55.1861</v>
      </c>
    </row>
    <row r="14" spans="1:9">
      <c r="A14" s="2" t="s">
        <v>19</v>
      </c>
      <c r="E14" s="2" t="s">
        <v>20</v>
      </c>
      <c r="F14" s="2" t="s">
        <v>10</v>
      </c>
      <c r="G14" s="2">
        <v>118.739</v>
      </c>
    </row>
    <row r="15" spans="1:9">
      <c r="A15" s="2" t="s">
        <v>21</v>
      </c>
      <c r="E15" s="2" t="s">
        <v>22</v>
      </c>
      <c r="F15" s="2" t="s">
        <v>10</v>
      </c>
      <c r="G15" s="2">
        <v>131.168</v>
      </c>
    </row>
    <row r="16" spans="1:9">
      <c r="A16" s="2" t="s">
        <v>23</v>
      </c>
      <c r="E16" s="2" t="s">
        <v>24</v>
      </c>
      <c r="F16" s="2" t="s">
        <v>25</v>
      </c>
      <c r="G16" s="2">
        <v>9.475770000000001</v>
      </c>
    </row>
    <row r="17" spans="1:9">
      <c r="A17" s="4" t="s">
        <v>26</v>
      </c>
      <c r="B17" s="4"/>
      <c r="C17" s="4"/>
      <c r="D17" s="4"/>
      <c r="E17" s="4"/>
      <c r="F17" s="4"/>
      <c r="G17" s="5"/>
      <c r="H17" s="5"/>
      <c r="I17" s="5"/>
    </row>
    <row r="18" spans="1:9">
      <c r="A18" s="2" t="s">
        <v>8</v>
      </c>
      <c r="E18" s="2" t="s">
        <v>9</v>
      </c>
      <c r="F18" s="2" t="s">
        <v>10</v>
      </c>
      <c r="G18" s="2">
        <v>369.457</v>
      </c>
    </row>
    <row r="19" spans="1:9">
      <c r="A19" s="2" t="s">
        <v>11</v>
      </c>
      <c r="E19" s="2" t="s">
        <v>12</v>
      </c>
      <c r="F19" s="2" t="s">
        <v>10</v>
      </c>
      <c r="G19" s="2">
        <v>107.228</v>
      </c>
    </row>
    <row r="20" spans="1:9">
      <c r="A20" s="2" t="s">
        <v>13</v>
      </c>
      <c r="E20" s="2" t="s">
        <v>14</v>
      </c>
      <c r="F20" s="2" t="s">
        <v>10</v>
      </c>
      <c r="G20" s="2">
        <v>124.854</v>
      </c>
    </row>
    <row r="21" spans="1:9">
      <c r="A21" s="2" t="s">
        <v>15</v>
      </c>
      <c r="E21" s="2" t="s">
        <v>16</v>
      </c>
      <c r="G21" s="6">
        <v>0.858824</v>
      </c>
    </row>
    <row r="22" spans="1:9">
      <c r="A22" s="2" t="s">
        <v>17</v>
      </c>
      <c r="E22" s="2" t="s">
        <v>18</v>
      </c>
      <c r="F22" s="2" t="s">
        <v>10</v>
      </c>
      <c r="G22" s="2">
        <v>63.4021</v>
      </c>
    </row>
    <row r="23" spans="1:9">
      <c r="A23" s="2" t="s">
        <v>19</v>
      </c>
      <c r="E23" s="2" t="s">
        <v>20</v>
      </c>
      <c r="F23" s="2" t="s">
        <v>10</v>
      </c>
      <c r="G23" s="2">
        <v>112.929</v>
      </c>
    </row>
    <row r="24" spans="1:9">
      <c r="A24" s="2" t="s">
        <v>21</v>
      </c>
      <c r="E24" s="2" t="s">
        <v>22</v>
      </c>
      <c r="F24" s="2" t="s">
        <v>10</v>
      </c>
      <c r="G24" s="2">
        <v>128.106</v>
      </c>
    </row>
    <row r="25" spans="1:9">
      <c r="A25" s="2" t="s">
        <v>23</v>
      </c>
      <c r="E25" s="2" t="s">
        <v>24</v>
      </c>
      <c r="F25" s="2" t="s">
        <v>25</v>
      </c>
      <c r="G25" s="2">
        <v>11.8471</v>
      </c>
    </row>
    <row r="26" spans="1:9">
      <c r="A26" s="4" t="s">
        <v>27</v>
      </c>
      <c r="B26" s="4"/>
      <c r="C26" s="4"/>
      <c r="D26" s="4"/>
      <c r="E26" s="4"/>
      <c r="F26" s="4"/>
      <c r="G26" s="5"/>
      <c r="H26" s="5"/>
      <c r="I26" s="5"/>
    </row>
    <row r="27" spans="1:9">
      <c r="A27" s="2" t="s">
        <v>8</v>
      </c>
      <c r="E27" s="2" t="s">
        <v>9</v>
      </c>
      <c r="F27" s="2" t="s">
        <v>10</v>
      </c>
      <c r="G27" s="2">
        <v>250.474</v>
      </c>
    </row>
    <row r="28" spans="1:9">
      <c r="A28" s="2" t="s">
        <v>11</v>
      </c>
      <c r="E28" s="2" t="s">
        <v>12</v>
      </c>
      <c r="F28" s="2" t="s">
        <v>10</v>
      </c>
      <c r="G28" s="2">
        <v>76.2812</v>
      </c>
    </row>
    <row r="29" spans="1:9">
      <c r="A29" s="2" t="s">
        <v>13</v>
      </c>
      <c r="E29" s="2" t="s">
        <v>14</v>
      </c>
      <c r="F29" s="2" t="s">
        <v>10</v>
      </c>
      <c r="G29" s="2">
        <v>80.7976</v>
      </c>
    </row>
    <row r="30" spans="1:9">
      <c r="A30" s="2" t="s">
        <v>15</v>
      </c>
      <c r="E30" s="2" t="s">
        <v>16</v>
      </c>
      <c r="G30" s="6">
        <v>0.944103</v>
      </c>
    </row>
    <row r="31" spans="1:9">
      <c r="A31" s="2" t="s">
        <v>17</v>
      </c>
      <c r="E31" s="2" t="s">
        <v>18</v>
      </c>
      <c r="F31" s="2" t="s">
        <v>10</v>
      </c>
      <c r="G31" s="2">
        <v>43.1766</v>
      </c>
    </row>
    <row r="32" spans="1:9">
      <c r="A32" s="2" t="s">
        <v>19</v>
      </c>
      <c r="E32" s="2" t="s">
        <v>20</v>
      </c>
      <c r="F32" s="2" t="s">
        <v>10</v>
      </c>
      <c r="G32" s="2">
        <v>76.7914</v>
      </c>
    </row>
    <row r="33" spans="1:9">
      <c r="A33" s="2" t="s">
        <v>21</v>
      </c>
      <c r="E33" s="2" t="s">
        <v>22</v>
      </c>
      <c r="F33" s="2" t="s">
        <v>10</v>
      </c>
      <c r="G33" s="2">
        <v>84.38500000000001</v>
      </c>
    </row>
    <row r="34" spans="1:9">
      <c r="A34" s="2" t="s">
        <v>23</v>
      </c>
      <c r="E34" s="2" t="s">
        <v>24</v>
      </c>
      <c r="F34" s="2" t="s">
        <v>25</v>
      </c>
      <c r="G34" s="2">
        <v>8.99877</v>
      </c>
    </row>
    <row r="35" spans="1:9">
      <c r="A35" s="4" t="s">
        <v>28</v>
      </c>
      <c r="B35" s="4"/>
      <c r="C35" s="4"/>
      <c r="D35" s="4"/>
      <c r="E35" s="4"/>
      <c r="F35" s="4"/>
      <c r="G35" s="5"/>
      <c r="H35" s="5"/>
      <c r="I35" s="5"/>
    </row>
    <row r="36" spans="1:9">
      <c r="A36" s="2" t="s">
        <v>29</v>
      </c>
      <c r="E36" s="2" t="s">
        <v>30</v>
      </c>
      <c r="F36" s="2" t="s">
        <v>31</v>
      </c>
      <c r="G36" s="2">
        <v>179.231</v>
      </c>
    </row>
    <row r="37" spans="1:9">
      <c r="A37" s="2" t="s">
        <v>32</v>
      </c>
      <c r="E37" s="2" t="s">
        <v>33</v>
      </c>
      <c r="F37" s="2" t="s">
        <v>31</v>
      </c>
      <c r="G37" s="2">
        <v>189.35</v>
      </c>
    </row>
    <row r="38" spans="1:9">
      <c r="A38" s="2" t="s">
        <v>34</v>
      </c>
      <c r="E38" s="2" t="s">
        <v>35</v>
      </c>
      <c r="F38" s="2" t="s">
        <v>31</v>
      </c>
      <c r="G38" s="2">
        <v>141.447</v>
      </c>
    </row>
    <row r="39" spans="1:9">
      <c r="A39" s="2" t="s">
        <v>36</v>
      </c>
      <c r="E39" s="2" t="s">
        <v>37</v>
      </c>
      <c r="F39" s="2" t="s">
        <v>31</v>
      </c>
      <c r="G39" s="2">
        <v>187.97</v>
      </c>
    </row>
    <row r="40" spans="1:9">
      <c r="A40" s="2" t="s">
        <v>38</v>
      </c>
      <c r="E40" s="2" t="s">
        <v>39</v>
      </c>
      <c r="F40" s="2" t="s">
        <v>25</v>
      </c>
      <c r="G40" s="2">
        <v>94.65599999999999</v>
      </c>
    </row>
    <row r="41" spans="1:9">
      <c r="A41" s="2" t="s">
        <v>40</v>
      </c>
      <c r="E41" s="2" t="s">
        <v>41</v>
      </c>
      <c r="F41" s="2" t="s">
        <v>25</v>
      </c>
      <c r="G41" s="2">
        <v>75.24979999999999</v>
      </c>
    </row>
    <row r="42" spans="1:9">
      <c r="A42" s="2" t="s">
        <v>42</v>
      </c>
      <c r="E42" s="2" t="s">
        <v>43</v>
      </c>
      <c r="F42" s="2" t="s">
        <v>25</v>
      </c>
      <c r="G42" s="2">
        <v>125.789</v>
      </c>
    </row>
    <row r="43" spans="1:9">
      <c r="A43" s="2" t="s">
        <v>44</v>
      </c>
      <c r="E43" s="2" t="s">
        <v>45</v>
      </c>
      <c r="F43" s="2" t="s">
        <v>25</v>
      </c>
      <c r="G43" s="2">
        <v>111.889</v>
      </c>
    </row>
    <row r="44" spans="1:9">
      <c r="A44" s="4"/>
      <c r="B44" s="4"/>
      <c r="C44" s="4"/>
      <c r="D44" s="4"/>
      <c r="E44" s="4"/>
      <c r="F44" s="4"/>
      <c r="G44" s="5"/>
      <c r="H44" s="5"/>
      <c r="I44" s="5"/>
    </row>
  </sheetData>
  <mergeCells count="10">
    <mergeCell ref="A1:I1"/>
    <mergeCell ref="A8:F8"/>
    <mergeCell ref="A17:F17"/>
    <mergeCell ref="G17:I17"/>
    <mergeCell ref="A26:F26"/>
    <mergeCell ref="G26:I26"/>
    <mergeCell ref="A35:F35"/>
    <mergeCell ref="G35:I35"/>
    <mergeCell ref="A44:F44"/>
    <mergeCell ref="G44:I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2022-03-31T08:51:59Z</dcterms:created>
  <dcterms:modified xsi:type="dcterms:W3CDTF">2022-03-31T08:51:59Z</dcterms:modified>
</cp:coreProperties>
</file>